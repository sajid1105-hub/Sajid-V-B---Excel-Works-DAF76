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B56E230-B99F-4A24-B067-679F6F0CF3F9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Employees" sheetId="1" r:id="rId1"/>
    <sheet name="Homework" sheetId="2" r:id="rId2"/>
    <sheet name="Instructions" sheetId="3" r:id="rId3"/>
    <sheet name="Answer" sheetId="4" r:id="rId4"/>
  </sheets>
  <definedNames>
    <definedName name="_xlnm._FilterDatabase" localSheetId="0" hidden="1">Employees!$A$1:$J$16</definedName>
    <definedName name="_xlnm._FilterDatabase" localSheetId="1" hidden="1">Homework!$A$1:$D$21</definedName>
    <definedName name="_xlnm._FilterDatabase" localSheetId="2" hidden="1">Instructions!$A$1:$A$6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3" i="4" l="1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2" i="4"/>
  <c r="AC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2" i="4"/>
  <c r="AB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2" i="4"/>
  <c r="AA3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2" i="4"/>
  <c r="Z6" i="4"/>
  <c r="Z7" i="4"/>
  <c r="Z8" i="4"/>
  <c r="Z9" i="4"/>
  <c r="Z10" i="4"/>
  <c r="Z11" i="4"/>
  <c r="Z12" i="4"/>
  <c r="Z13" i="4"/>
  <c r="Z14" i="4"/>
  <c r="Z15" i="4"/>
  <c r="Z16" i="4"/>
  <c r="Z3" i="4"/>
  <c r="Z4" i="4"/>
  <c r="Z5" i="4"/>
  <c r="Z2" i="4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2" i="4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2" i="4"/>
</calcChain>
</file>

<file path=xl/sharedStrings.xml><?xml version="1.0" encoding="utf-8"?>
<sst xmlns="http://schemas.openxmlformats.org/spreadsheetml/2006/main" count="201" uniqueCount="98">
  <si>
    <t>Employee_ID</t>
  </si>
  <si>
    <t>Employee_Name</t>
  </si>
  <si>
    <t>Department</t>
  </si>
  <si>
    <t>Location</t>
  </si>
  <si>
    <t>Salary</t>
  </si>
  <si>
    <t>Hire_Date</t>
  </si>
  <si>
    <t>Projects_Completed</t>
  </si>
  <si>
    <t>Training_Hours</t>
  </si>
  <si>
    <t>Attendance_Bonus_Eligible</t>
  </si>
  <si>
    <t>Performance_Target_Met</t>
  </si>
  <si>
    <t>Ava Rodriguez</t>
  </si>
  <si>
    <t>Finance</t>
  </si>
  <si>
    <t>Chennai</t>
  </si>
  <si>
    <t>David Johnson</t>
  </si>
  <si>
    <t>IT</t>
  </si>
  <si>
    <t>Bangalore</t>
  </si>
  <si>
    <t>Chris Wilson</t>
  </si>
  <si>
    <t>Emily Davis</t>
  </si>
  <si>
    <t>Sophia Brown</t>
  </si>
  <si>
    <t>HR</t>
  </si>
  <si>
    <t>Hyderabad</t>
  </si>
  <si>
    <t>Michael Smith</t>
  </si>
  <si>
    <t>Olivia Taylor</t>
  </si>
  <si>
    <t>James Anderson</t>
  </si>
  <si>
    <t>Marketing</t>
  </si>
  <si>
    <t>Pune</t>
  </si>
  <si>
    <t>Emma Thomas</t>
  </si>
  <si>
    <t>Daniel White</t>
  </si>
  <si>
    <t>Mia Martin</t>
  </si>
  <si>
    <t>Noah Clark</t>
  </si>
  <si>
    <t>Isabella Lewis</t>
  </si>
  <si>
    <t>Sales</t>
  </si>
  <si>
    <t>Kochi</t>
  </si>
  <si>
    <t>Ethan Walker</t>
  </si>
  <si>
    <t>Amelia Hall</t>
  </si>
  <si>
    <t>Question_No</t>
  </si>
  <si>
    <t>Topic</t>
  </si>
  <si>
    <t>Homework_Question</t>
  </si>
  <si>
    <t>Operator_or_Function</t>
  </si>
  <si>
    <t>Arithmetic</t>
  </si>
  <si>
    <t>Calculate annual salary assuming monthly salary is Salary / 12. Use arithmetic operators to calculate monthly salary in a new column.</t>
  </si>
  <si>
    <t>Arithmetic operators (+, -, *, /)</t>
  </si>
  <si>
    <t>Calculate a 10% salary increase for each employee.</t>
  </si>
  <si>
    <t>*</t>
  </si>
  <si>
    <t>Calculate the annual bonus as 8% of Salary.</t>
  </si>
  <si>
    <t>Calculate the difference between Salary and 60,000.</t>
  </si>
  <si>
    <t>-</t>
  </si>
  <si>
    <t>Calculate a project allowance of 1,500 per completed project.</t>
  </si>
  <si>
    <t>Comparison</t>
  </si>
  <si>
    <t>Return TRUE for employees whose Salary is greater than 80,000.</t>
  </si>
  <si>
    <t>&gt;</t>
  </si>
  <si>
    <t>Return TRUE for employees whose Salary is equal to 75,000.</t>
  </si>
  <si>
    <t>=</t>
  </si>
  <si>
    <t>Identify employees whose Salary is not equal to 70,000.</t>
  </si>
  <si>
    <t>&lt;&gt;</t>
  </si>
  <si>
    <t>Check whether Projects_Completed is greater than or equal to 4.</t>
  </si>
  <si>
    <t>&gt;=</t>
  </si>
  <si>
    <t>Check whether Training_Hours is less than 3.</t>
  </si>
  <si>
    <t>&lt;</t>
  </si>
  <si>
    <t>Logical</t>
  </si>
  <si>
    <t>Mark employees as eligible only when Salary is at least 75,000 AND Performance_Target_Met is 1.</t>
  </si>
  <si>
    <t>AND</t>
  </si>
  <si>
    <t>Mark employees as eligible when Department is Finance OR IT.</t>
  </si>
  <si>
    <t>OR</t>
  </si>
  <si>
    <t>Identify employees who are NOT eligible for an attendance bonus.</t>
  </si>
  <si>
    <t>NOT</t>
  </si>
  <si>
    <t>Return TRUE when Salary is at least 80,000 OR Projects_Completed is at least 4.</t>
  </si>
  <si>
    <t>Text</t>
  </si>
  <si>
    <t>Combine Employee_Name and Department into one cell, separated by a hyphen.</t>
  </si>
  <si>
    <t>&amp;</t>
  </si>
  <si>
    <t>Mixed</t>
  </si>
  <si>
    <t>Check whether the employee is in IT AND Salary is greater than 70,000.</t>
  </si>
  <si>
    <t>AND, =, &gt;</t>
  </si>
  <si>
    <t>Check whether the employee is in Finance OR salary is below 60,000.</t>
  </si>
  <si>
    <t>OR, =, &lt;</t>
  </si>
  <si>
    <t>Calculate a proposed salary after a 5% increase, then compare it with 80,000.</t>
  </si>
  <si>
    <t>*, +, &gt;</t>
  </si>
  <si>
    <t>Calculate a performance allowance of 2,000 if Performance_Target_Met is 1, otherwise 0. Use IF with a comparison operator.</t>
  </si>
  <si>
    <t>IF, =</t>
  </si>
  <si>
    <t>Create a final eligibility check: Salary &gt;= 75,000 AND (Attendance_Bonus_Eligible = 1 OR Performance_Target_Met = 1).</t>
  </si>
  <si>
    <t>AND, OR, &gt;=, =</t>
  </si>
  <si>
    <t>Excel Operators Homework</t>
  </si>
  <si>
    <t>Use the Employees sheet to answer the questions in the Homework sheet.</t>
  </si>
  <si>
    <t>Use Excel formulas where appropriate. Do not overwrite the original data.</t>
  </si>
  <si>
    <t>Assume Attendance_Bonus_Eligible and Performance_Target_Met use 1 = Yes and 0 = No.</t>
  </si>
  <si>
    <t>Suggested operators: +, -, *, /, ^, %, =, &gt;, &lt;, &gt;=, &lt;=, &lt;&gt;, &amp;, AND, OR, NOT.</t>
  </si>
  <si>
    <t>Save your completed workbook with your answers or add a separate Answers sheet.</t>
  </si>
  <si>
    <t>Upload the answer file to GitHub repository</t>
  </si>
  <si>
    <t>Monthly Salary</t>
  </si>
  <si>
    <t>10% Increase of salary</t>
  </si>
  <si>
    <t>Annual bonus 8%</t>
  </si>
  <si>
    <t>Diff bet salary and 60000</t>
  </si>
  <si>
    <t>Project allowance</t>
  </si>
  <si>
    <t>Employee salary -True for above 8000</t>
  </si>
  <si>
    <t>Employee salary -True equal to 75000</t>
  </si>
  <si>
    <t>Employee salary -True not equal to 70000</t>
  </si>
  <si>
    <t xml:space="preserve"> Projects Completed is greater than or equal to 4.</t>
  </si>
  <si>
    <t>Training_Hours is less than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</si>
</sst>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#,##0.00"/>
    <numFmt numFmtId="165" formatCode="yyyy\-mm\-dd"/>
    <numFmt numFmtId="166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top" wrapText="1"/>
    </xf>
    <xf numFmtId="166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>
      <pane ySplit="1" topLeftCell="A2" activePane="bottomLeft" state="frozen"/>
      <selection pane="bottomLeft" sqref="A1:J16"/>
    </sheetView>
  </sheetViews>
  <sheetFormatPr defaultRowHeight="15" x14ac:dyDescent="0.25"/>
  <cols>
    <col min="1" max="1" width="14" customWidth="1"/>
    <col min="2" max="2" width="16" customWidth="1"/>
    <col min="3" max="5" width="14" customWidth="1"/>
    <col min="6" max="6" width="21" customWidth="1"/>
    <col min="7" max="7" width="20" customWidth="1"/>
    <col min="8" max="8" width="16" customWidth="1"/>
    <col min="9" max="9" width="27" customWidth="1"/>
    <col min="10" max="10" width="24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1001</v>
      </c>
      <c r="B2" s="2" t="s">
        <v>10</v>
      </c>
      <c r="C2" s="2" t="s">
        <v>11</v>
      </c>
      <c r="D2" s="2" t="s">
        <v>12</v>
      </c>
      <c r="E2" s="3">
        <v>93000</v>
      </c>
      <c r="F2" s="4">
        <v>42135</v>
      </c>
      <c r="G2" s="2">
        <v>5</v>
      </c>
      <c r="H2" s="2">
        <v>2</v>
      </c>
      <c r="I2" s="2">
        <v>1</v>
      </c>
      <c r="J2" s="2">
        <v>0</v>
      </c>
    </row>
    <row r="3" spans="1:10" x14ac:dyDescent="0.25">
      <c r="A3" s="2">
        <v>1002</v>
      </c>
      <c r="B3" s="2" t="s">
        <v>13</v>
      </c>
      <c r="C3" s="2" t="s">
        <v>14</v>
      </c>
      <c r="D3" s="2" t="s">
        <v>15</v>
      </c>
      <c r="E3" s="3">
        <v>67000</v>
      </c>
      <c r="F3" s="4">
        <v>43368</v>
      </c>
      <c r="G3" s="2">
        <v>3</v>
      </c>
      <c r="H3" s="2">
        <v>1</v>
      </c>
      <c r="I3" s="2">
        <v>0</v>
      </c>
      <c r="J3" s="2">
        <v>1</v>
      </c>
    </row>
    <row r="4" spans="1:10" x14ac:dyDescent="0.25">
      <c r="A4" s="2">
        <v>1003</v>
      </c>
      <c r="B4" s="2" t="s">
        <v>16</v>
      </c>
      <c r="C4" s="2" t="s">
        <v>11</v>
      </c>
      <c r="D4" s="2" t="s">
        <v>12</v>
      </c>
      <c r="E4" s="3">
        <v>85000</v>
      </c>
      <c r="F4" s="4">
        <v>44365</v>
      </c>
      <c r="G4" s="2">
        <v>4</v>
      </c>
      <c r="H4" s="2">
        <v>3</v>
      </c>
      <c r="I4" s="2">
        <v>1</v>
      </c>
      <c r="J4" s="2">
        <v>1</v>
      </c>
    </row>
    <row r="5" spans="1:10" x14ac:dyDescent="0.25">
      <c r="A5" s="2">
        <v>1004</v>
      </c>
      <c r="B5" s="2" t="s">
        <v>17</v>
      </c>
      <c r="C5" s="2" t="s">
        <v>14</v>
      </c>
      <c r="D5" s="2" t="s">
        <v>15</v>
      </c>
      <c r="E5" s="3">
        <v>71000</v>
      </c>
      <c r="F5" s="4">
        <v>42771</v>
      </c>
      <c r="G5" s="2">
        <v>2</v>
      </c>
      <c r="H5" s="2">
        <v>2</v>
      </c>
      <c r="I5" s="2">
        <v>0</v>
      </c>
      <c r="J5" s="2">
        <v>1</v>
      </c>
    </row>
    <row r="6" spans="1:10" x14ac:dyDescent="0.25">
      <c r="A6" s="2">
        <v>1005</v>
      </c>
      <c r="B6" s="2" t="s">
        <v>18</v>
      </c>
      <c r="C6" s="2" t="s">
        <v>19</v>
      </c>
      <c r="D6" s="2" t="s">
        <v>20</v>
      </c>
      <c r="E6" s="3">
        <v>58000</v>
      </c>
      <c r="F6" s="4">
        <v>43781</v>
      </c>
      <c r="G6" s="2">
        <v>2</v>
      </c>
      <c r="H6" s="2">
        <v>1</v>
      </c>
      <c r="I6" s="2">
        <v>0</v>
      </c>
      <c r="J6" s="2">
        <v>0</v>
      </c>
    </row>
    <row r="7" spans="1:10" x14ac:dyDescent="0.25">
      <c r="A7" s="2">
        <v>1006</v>
      </c>
      <c r="B7" s="2" t="s">
        <v>21</v>
      </c>
      <c r="C7" s="2" t="s">
        <v>14</v>
      </c>
      <c r="D7" s="2" t="s">
        <v>15</v>
      </c>
      <c r="E7" s="3">
        <v>88000</v>
      </c>
      <c r="F7" s="4">
        <v>42571</v>
      </c>
      <c r="G7" s="2">
        <v>5</v>
      </c>
      <c r="H7" s="2">
        <v>4</v>
      </c>
      <c r="I7" s="2">
        <v>1</v>
      </c>
      <c r="J7" s="2">
        <v>1</v>
      </c>
    </row>
    <row r="8" spans="1:10" x14ac:dyDescent="0.25">
      <c r="A8" s="2">
        <v>1007</v>
      </c>
      <c r="B8" s="2" t="s">
        <v>22</v>
      </c>
      <c r="C8" s="2" t="s">
        <v>19</v>
      </c>
      <c r="D8" s="2" t="s">
        <v>20</v>
      </c>
      <c r="E8" s="3">
        <v>62000</v>
      </c>
      <c r="F8" s="4">
        <v>44635</v>
      </c>
      <c r="G8" s="2">
        <v>3</v>
      </c>
      <c r="H8" s="2">
        <v>2</v>
      </c>
      <c r="I8" s="2">
        <v>0</v>
      </c>
      <c r="J8" s="2">
        <v>1</v>
      </c>
    </row>
    <row r="9" spans="1:10" x14ac:dyDescent="0.25">
      <c r="A9" s="2">
        <v>1008</v>
      </c>
      <c r="B9" s="2" t="s">
        <v>23</v>
      </c>
      <c r="C9" s="2" t="s">
        <v>24</v>
      </c>
      <c r="D9" s="2" t="s">
        <v>25</v>
      </c>
      <c r="E9" s="3">
        <v>75000</v>
      </c>
      <c r="F9" s="4">
        <v>43840</v>
      </c>
      <c r="G9" s="2">
        <v>4</v>
      </c>
      <c r="H9" s="2">
        <v>3</v>
      </c>
      <c r="I9" s="2">
        <v>1</v>
      </c>
      <c r="J9" s="2">
        <v>0</v>
      </c>
    </row>
    <row r="10" spans="1:10" x14ac:dyDescent="0.25">
      <c r="A10" s="2">
        <v>1009</v>
      </c>
      <c r="B10" s="2" t="s">
        <v>26</v>
      </c>
      <c r="C10" s="2" t="s">
        <v>11</v>
      </c>
      <c r="D10" s="2" t="s">
        <v>12</v>
      </c>
      <c r="E10" s="3">
        <v>79000</v>
      </c>
      <c r="F10" s="4">
        <v>43699</v>
      </c>
      <c r="G10" s="2">
        <v>3</v>
      </c>
      <c r="H10" s="2">
        <v>2</v>
      </c>
      <c r="I10" s="2">
        <v>0</v>
      </c>
      <c r="J10" s="2">
        <v>1</v>
      </c>
    </row>
    <row r="11" spans="1:10" x14ac:dyDescent="0.25">
      <c r="A11" s="2">
        <v>1010</v>
      </c>
      <c r="B11" s="2" t="s">
        <v>27</v>
      </c>
      <c r="C11" s="2" t="s">
        <v>24</v>
      </c>
      <c r="D11" s="2" t="s">
        <v>25</v>
      </c>
      <c r="E11" s="3">
        <v>69000</v>
      </c>
      <c r="F11" s="4">
        <v>43437</v>
      </c>
      <c r="G11" s="2">
        <v>2</v>
      </c>
      <c r="H11" s="2">
        <v>1</v>
      </c>
      <c r="I11" s="2">
        <v>0</v>
      </c>
      <c r="J11" s="2">
        <v>0</v>
      </c>
    </row>
    <row r="12" spans="1:10" x14ac:dyDescent="0.25">
      <c r="A12" s="2">
        <v>1011</v>
      </c>
      <c r="B12" s="2" t="s">
        <v>28</v>
      </c>
      <c r="C12" s="2" t="s">
        <v>14</v>
      </c>
      <c r="D12" s="2" t="s">
        <v>15</v>
      </c>
      <c r="E12" s="3">
        <v>95000</v>
      </c>
      <c r="F12" s="4">
        <v>41746</v>
      </c>
      <c r="G12" s="2">
        <v>5</v>
      </c>
      <c r="H12" s="2">
        <v>5</v>
      </c>
      <c r="I12" s="2">
        <v>1</v>
      </c>
      <c r="J12" s="2">
        <v>1</v>
      </c>
    </row>
    <row r="13" spans="1:10" x14ac:dyDescent="0.25">
      <c r="A13" s="2">
        <v>1012</v>
      </c>
      <c r="B13" s="2" t="s">
        <v>29</v>
      </c>
      <c r="C13" s="2" t="s">
        <v>19</v>
      </c>
      <c r="D13" s="2" t="s">
        <v>20</v>
      </c>
      <c r="E13" s="3">
        <v>54000</v>
      </c>
      <c r="F13" s="4">
        <v>45078</v>
      </c>
      <c r="G13" s="2">
        <v>1</v>
      </c>
      <c r="H13" s="2">
        <v>1</v>
      </c>
      <c r="I13" s="2">
        <v>0</v>
      </c>
      <c r="J13" s="2">
        <v>0</v>
      </c>
    </row>
    <row r="14" spans="1:10" x14ac:dyDescent="0.25">
      <c r="A14" s="2">
        <v>1013</v>
      </c>
      <c r="B14" s="2" t="s">
        <v>30</v>
      </c>
      <c r="C14" s="2" t="s">
        <v>31</v>
      </c>
      <c r="D14" s="2" t="s">
        <v>32</v>
      </c>
      <c r="E14" s="3">
        <v>72000</v>
      </c>
      <c r="F14" s="4">
        <v>44088</v>
      </c>
      <c r="G14" s="2">
        <v>4</v>
      </c>
      <c r="H14" s="2">
        <v>2</v>
      </c>
      <c r="I14" s="2">
        <v>1</v>
      </c>
      <c r="J14" s="2">
        <v>1</v>
      </c>
    </row>
    <row r="15" spans="1:10" x14ac:dyDescent="0.25">
      <c r="A15" s="2">
        <v>1014</v>
      </c>
      <c r="B15" s="2" t="s">
        <v>33</v>
      </c>
      <c r="C15" s="2" t="s">
        <v>31</v>
      </c>
      <c r="D15" s="2" t="s">
        <v>32</v>
      </c>
      <c r="E15" s="3">
        <v>81000</v>
      </c>
      <c r="F15" s="4">
        <v>43038</v>
      </c>
      <c r="G15" s="2">
        <v>3</v>
      </c>
      <c r="H15" s="2">
        <v>3</v>
      </c>
      <c r="I15" s="2">
        <v>0</v>
      </c>
      <c r="J15" s="2">
        <v>1</v>
      </c>
    </row>
    <row r="16" spans="1:10" x14ac:dyDescent="0.25">
      <c r="A16" s="2">
        <v>1015</v>
      </c>
      <c r="B16" s="2" t="s">
        <v>34</v>
      </c>
      <c r="C16" s="2" t="s">
        <v>11</v>
      </c>
      <c r="D16" s="2" t="s">
        <v>12</v>
      </c>
      <c r="E16" s="3">
        <v>66000</v>
      </c>
      <c r="F16" s="4">
        <v>44585</v>
      </c>
      <c r="G16" s="2">
        <v>2</v>
      </c>
      <c r="H16" s="2">
        <v>2</v>
      </c>
      <c r="I16" s="2">
        <v>1</v>
      </c>
      <c r="J16" s="2">
        <v>0</v>
      </c>
    </row>
  </sheetData>
  <autoFilter ref="A1:J1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pane ySplit="1" topLeftCell="A13" activePane="bottomLeft" state="frozen"/>
      <selection pane="bottomLeft" activeCell="C21" sqref="C21"/>
    </sheetView>
  </sheetViews>
  <sheetFormatPr defaultRowHeight="15" x14ac:dyDescent="0.25"/>
  <cols>
    <col min="1" max="2" width="14" customWidth="1"/>
    <col min="3" max="3" width="58" customWidth="1"/>
    <col min="4" max="4" width="35" customWidth="1"/>
  </cols>
  <sheetData>
    <row r="1" spans="1:4" ht="30" customHeight="1" x14ac:dyDescent="0.25">
      <c r="A1" s="1" t="s">
        <v>35</v>
      </c>
      <c r="B1" s="1" t="s">
        <v>36</v>
      </c>
      <c r="C1" s="1" t="s">
        <v>37</v>
      </c>
      <c r="D1" s="1" t="s">
        <v>38</v>
      </c>
    </row>
    <row r="2" spans="1:4" ht="45" x14ac:dyDescent="0.25">
      <c r="A2" s="2">
        <v>1</v>
      </c>
      <c r="B2" s="2" t="s">
        <v>39</v>
      </c>
      <c r="C2" s="2" t="s">
        <v>40</v>
      </c>
      <c r="D2" s="2" t="s">
        <v>41</v>
      </c>
    </row>
    <row r="3" spans="1:4" x14ac:dyDescent="0.25">
      <c r="A3" s="2">
        <v>2</v>
      </c>
      <c r="B3" s="2" t="s">
        <v>39</v>
      </c>
      <c r="C3" s="2" t="s">
        <v>42</v>
      </c>
      <c r="D3" s="2" t="s">
        <v>43</v>
      </c>
    </row>
    <row r="4" spans="1:4" x14ac:dyDescent="0.25">
      <c r="A4" s="2">
        <v>3</v>
      </c>
      <c r="B4" s="2" t="s">
        <v>39</v>
      </c>
      <c r="C4" s="2" t="s">
        <v>44</v>
      </c>
      <c r="D4" s="2" t="s">
        <v>43</v>
      </c>
    </row>
    <row r="5" spans="1:4" x14ac:dyDescent="0.25">
      <c r="A5" s="2">
        <v>4</v>
      </c>
      <c r="B5" s="2" t="s">
        <v>39</v>
      </c>
      <c r="C5" s="2" t="s">
        <v>45</v>
      </c>
      <c r="D5" s="2" t="s">
        <v>46</v>
      </c>
    </row>
    <row r="6" spans="1:4" x14ac:dyDescent="0.25">
      <c r="A6" s="2">
        <v>5</v>
      </c>
      <c r="B6" s="2" t="s">
        <v>39</v>
      </c>
      <c r="C6" s="2" t="s">
        <v>47</v>
      </c>
      <c r="D6" s="2" t="s">
        <v>43</v>
      </c>
    </row>
    <row r="7" spans="1:4" ht="30" x14ac:dyDescent="0.25">
      <c r="A7" s="2">
        <v>6</v>
      </c>
      <c r="B7" s="2" t="s">
        <v>48</v>
      </c>
      <c r="C7" s="2" t="s">
        <v>49</v>
      </c>
      <c r="D7" s="2" t="s">
        <v>50</v>
      </c>
    </row>
    <row r="8" spans="1:4" x14ac:dyDescent="0.25">
      <c r="A8" s="2">
        <v>7</v>
      </c>
      <c r="B8" s="2" t="s">
        <v>48</v>
      </c>
      <c r="C8" s="2" t="s">
        <v>51</v>
      </c>
      <c r="D8" s="2" t="s">
        <v>52</v>
      </c>
    </row>
    <row r="9" spans="1:4" x14ac:dyDescent="0.25">
      <c r="A9" s="2">
        <v>8</v>
      </c>
      <c r="B9" s="2" t="s">
        <v>48</v>
      </c>
      <c r="C9" s="2" t="s">
        <v>53</v>
      </c>
      <c r="D9" s="2" t="s">
        <v>54</v>
      </c>
    </row>
    <row r="10" spans="1:4" ht="30" x14ac:dyDescent="0.25">
      <c r="A10" s="2">
        <v>9</v>
      </c>
      <c r="B10" s="2" t="s">
        <v>48</v>
      </c>
      <c r="C10" s="2" t="s">
        <v>55</v>
      </c>
      <c r="D10" s="2" t="s">
        <v>56</v>
      </c>
    </row>
    <row r="11" spans="1:4" x14ac:dyDescent="0.25">
      <c r="A11" s="2">
        <v>10</v>
      </c>
      <c r="B11" s="2" t="s">
        <v>48</v>
      </c>
      <c r="C11" s="2" t="s">
        <v>57</v>
      </c>
      <c r="D11" s="2" t="s">
        <v>58</v>
      </c>
    </row>
    <row r="12" spans="1:4" ht="30" x14ac:dyDescent="0.25">
      <c r="A12" s="2">
        <v>11</v>
      </c>
      <c r="B12" s="2" t="s">
        <v>59</v>
      </c>
      <c r="C12" s="2" t="s">
        <v>60</v>
      </c>
      <c r="D12" s="2" t="s">
        <v>61</v>
      </c>
    </row>
    <row r="13" spans="1:4" x14ac:dyDescent="0.25">
      <c r="A13" s="2">
        <v>12</v>
      </c>
      <c r="B13" s="2" t="s">
        <v>59</v>
      </c>
      <c r="C13" s="2" t="s">
        <v>62</v>
      </c>
      <c r="D13" s="2" t="s">
        <v>63</v>
      </c>
    </row>
    <row r="14" spans="1:4" ht="30" x14ac:dyDescent="0.25">
      <c r="A14" s="2">
        <v>13</v>
      </c>
      <c r="B14" s="2" t="s">
        <v>59</v>
      </c>
      <c r="C14" s="2" t="s">
        <v>64</v>
      </c>
      <c r="D14" s="2" t="s">
        <v>65</v>
      </c>
    </row>
    <row r="15" spans="1:4" ht="30" x14ac:dyDescent="0.25">
      <c r="A15" s="2">
        <v>14</v>
      </c>
      <c r="B15" s="2" t="s">
        <v>59</v>
      </c>
      <c r="C15" s="2" t="s">
        <v>66</v>
      </c>
      <c r="D15" s="2" t="s">
        <v>63</v>
      </c>
    </row>
    <row r="16" spans="1:4" ht="30" x14ac:dyDescent="0.25">
      <c r="A16" s="2">
        <v>15</v>
      </c>
      <c r="B16" s="2" t="s">
        <v>67</v>
      </c>
      <c r="C16" s="2" t="s">
        <v>68</v>
      </c>
      <c r="D16" s="2" t="s">
        <v>69</v>
      </c>
    </row>
    <row r="17" spans="1:4" ht="30" x14ac:dyDescent="0.25">
      <c r="A17" s="2">
        <v>16</v>
      </c>
      <c r="B17" s="2" t="s">
        <v>70</v>
      </c>
      <c r="C17" s="2" t="s">
        <v>71</v>
      </c>
      <c r="D17" s="2" t="s">
        <v>72</v>
      </c>
    </row>
    <row r="18" spans="1:4" ht="30" x14ac:dyDescent="0.25">
      <c r="A18" s="2">
        <v>17</v>
      </c>
      <c r="B18" s="2" t="s">
        <v>70</v>
      </c>
      <c r="C18" s="2" t="s">
        <v>73</v>
      </c>
      <c r="D18" s="2" t="s">
        <v>74</v>
      </c>
    </row>
    <row r="19" spans="1:4" ht="30" x14ac:dyDescent="0.25">
      <c r="A19" s="2">
        <v>18</v>
      </c>
      <c r="B19" s="2" t="s">
        <v>70</v>
      </c>
      <c r="C19" s="2" t="s">
        <v>75</v>
      </c>
      <c r="D19" s="2" t="s">
        <v>76</v>
      </c>
    </row>
    <row r="20" spans="1:4" ht="45" x14ac:dyDescent="0.25">
      <c r="A20" s="2">
        <v>19</v>
      </c>
      <c r="B20" s="2" t="s">
        <v>70</v>
      </c>
      <c r="C20" s="2" t="s">
        <v>77</v>
      </c>
      <c r="D20" s="2" t="s">
        <v>78</v>
      </c>
    </row>
    <row r="21" spans="1:4" ht="45" x14ac:dyDescent="0.25">
      <c r="A21" s="2">
        <v>20</v>
      </c>
      <c r="B21" s="2" t="s">
        <v>70</v>
      </c>
      <c r="C21" s="2" t="s">
        <v>79</v>
      </c>
      <c r="D21" s="2" t="s">
        <v>80</v>
      </c>
    </row>
  </sheetData>
  <autoFilter ref="A1:D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>
      <pane ySplit="1" topLeftCell="A2" activePane="bottomLeft" state="frozen"/>
      <selection pane="bottomLeft" activeCell="A6" sqref="A6"/>
    </sheetView>
  </sheetViews>
  <sheetFormatPr defaultRowHeight="15" x14ac:dyDescent="0.25"/>
  <cols>
    <col min="1" max="1" width="58" customWidth="1"/>
  </cols>
  <sheetData>
    <row r="1" spans="1:1" ht="30" customHeight="1" x14ac:dyDescent="0.25">
      <c r="A1" s="1" t="s">
        <v>81</v>
      </c>
    </row>
    <row r="2" spans="1:1" ht="30" x14ac:dyDescent="0.25">
      <c r="A2" s="2" t="s">
        <v>82</v>
      </c>
    </row>
    <row r="3" spans="1:1" ht="30" x14ac:dyDescent="0.25">
      <c r="A3" s="2" t="s">
        <v>83</v>
      </c>
    </row>
    <row r="4" spans="1:1" ht="30" x14ac:dyDescent="0.25">
      <c r="A4" s="2" t="s">
        <v>84</v>
      </c>
    </row>
    <row r="5" spans="1:1" ht="30" x14ac:dyDescent="0.25">
      <c r="A5" s="2" t="s">
        <v>85</v>
      </c>
    </row>
    <row r="6" spans="1:1" ht="30" x14ac:dyDescent="0.25">
      <c r="A6" s="2" t="s">
        <v>86</v>
      </c>
    </row>
    <row r="7" spans="1:1" x14ac:dyDescent="0.25">
      <c r="A7" s="2" t="s">
        <v>87</v>
      </c>
    </row>
  </sheetData>
  <autoFilter ref="A1:A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1F536-5E37-4DA9-8022-93ECD357CBFE}">
  <dimension ref="A1:AD16"/>
  <sheetViews>
    <sheetView tabSelected="1" workbookViewId="0">
      <selection activeCell="D4" sqref="D4"/>
    </sheetView>
  </sheetViews>
  <sheetFormatPr defaultRowHeight="15" x14ac:dyDescent="0.25"/>
  <cols>
    <col min="2" max="2" width="16.85546875" customWidth="1"/>
    <col min="3" max="3" width="12.7109375" customWidth="1"/>
    <col min="4" max="4" width="14" customWidth="1"/>
    <col min="5" max="5" width="10.28515625" bestFit="1" customWidth="1"/>
    <col min="6" max="6" width="10.42578125" bestFit="1" customWidth="1"/>
    <col min="11" max="11" width="12.28515625" customWidth="1"/>
    <col min="12" max="12" width="15.42578125" customWidth="1"/>
    <col min="13" max="13" width="13.85546875" customWidth="1"/>
    <col min="14" max="14" width="11.42578125" bestFit="1" customWidth="1"/>
    <col min="16" max="16" width="12" customWidth="1"/>
    <col min="17" max="17" width="12.28515625" customWidth="1"/>
    <col min="19" max="19" width="13.42578125" customWidth="1"/>
    <col min="20" max="20" width="11.140625" customWidth="1"/>
    <col min="22" max="22" width="11.140625" bestFit="1" customWidth="1"/>
    <col min="25" max="25" width="21.5703125" bestFit="1" customWidth="1"/>
    <col min="28" max="28" width="11.42578125" bestFit="1" customWidth="1"/>
    <col min="30" max="30" width="11.140625" bestFit="1" customWidth="1"/>
  </cols>
  <sheetData>
    <row r="1" spans="1:30" ht="152.2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88</v>
      </c>
      <c r="L1" s="5" t="s">
        <v>89</v>
      </c>
      <c r="M1" s="5" t="s">
        <v>90</v>
      </c>
      <c r="N1" s="5" t="s">
        <v>91</v>
      </c>
      <c r="O1" s="5" t="s">
        <v>92</v>
      </c>
      <c r="P1" s="5" t="s">
        <v>93</v>
      </c>
      <c r="Q1" s="5" t="s">
        <v>94</v>
      </c>
      <c r="R1" s="5" t="s">
        <v>95</v>
      </c>
      <c r="S1" s="12" t="s">
        <v>96</v>
      </c>
      <c r="T1" s="6" t="s">
        <v>97</v>
      </c>
      <c r="U1" s="12" t="s">
        <v>60</v>
      </c>
      <c r="V1" s="12" t="s">
        <v>62</v>
      </c>
      <c r="W1" s="12" t="s">
        <v>64</v>
      </c>
      <c r="X1" s="12" t="s">
        <v>66</v>
      </c>
      <c r="Y1" s="12" t="s">
        <v>68</v>
      </c>
      <c r="Z1" s="12" t="s">
        <v>71</v>
      </c>
      <c r="AA1" s="12" t="s">
        <v>73</v>
      </c>
      <c r="AB1" s="12" t="s">
        <v>75</v>
      </c>
      <c r="AC1" s="12" t="s">
        <v>77</v>
      </c>
      <c r="AD1" s="12" t="s">
        <v>79</v>
      </c>
    </row>
    <row r="2" spans="1:30" ht="24.75" customHeight="1" x14ac:dyDescent="0.25">
      <c r="A2" s="7">
        <v>1001</v>
      </c>
      <c r="B2" s="7" t="s">
        <v>10</v>
      </c>
      <c r="C2" s="7" t="s">
        <v>11</v>
      </c>
      <c r="D2" s="7" t="s">
        <v>12</v>
      </c>
      <c r="E2" s="8">
        <v>93000</v>
      </c>
      <c r="F2" s="9">
        <v>42135</v>
      </c>
      <c r="G2" s="7">
        <v>5</v>
      </c>
      <c r="H2" s="7">
        <v>2</v>
      </c>
      <c r="I2" s="7">
        <v>1</v>
      </c>
      <c r="J2" s="7">
        <v>0</v>
      </c>
      <c r="K2" s="13">
        <f>E2/12</f>
        <v>7750</v>
      </c>
      <c r="L2" s="13">
        <f>E2+(E2*10%)</f>
        <v>102300</v>
      </c>
      <c r="M2" s="13">
        <f>E2*8%</f>
        <v>7440</v>
      </c>
      <c r="N2" s="13">
        <f>E2-60000</f>
        <v>33000</v>
      </c>
      <c r="O2" s="10">
        <f>G2*1500</f>
        <v>7500</v>
      </c>
      <c r="P2" s="10" t="str">
        <f>IF(Answer!E2&gt;80000,"True")</f>
        <v>True</v>
      </c>
      <c r="Q2" s="10" t="b">
        <f>IF(E2=75000,"True")</f>
        <v>0</v>
      </c>
      <c r="R2" s="10" t="str">
        <f>IF(E2&lt;&gt;75000,"True")</f>
        <v>True</v>
      </c>
      <c r="S2" s="10" t="str">
        <f>IF(G2&gt;=4,"True")</f>
        <v>True</v>
      </c>
      <c r="T2" s="11" t="str">
        <f>IF(H2&lt;3,"True")</f>
        <v>True</v>
      </c>
      <c r="U2" s="10" t="str">
        <f>IF(AND(E2&gt;=75000,J2=1),"Eligible","Not Eligible")</f>
        <v>Not Eligible</v>
      </c>
      <c r="V2" s="10" t="str">
        <f>IF(OR(C2="finance",C2="IT"),"eligible","not eligible")</f>
        <v>eligible</v>
      </c>
      <c r="W2" s="10" t="str">
        <f>IF(NOT(I2=1),"Not eligible","Eligible")</f>
        <v>Eligible</v>
      </c>
      <c r="X2" s="10" t="b">
        <f>OR(E2&gt;=80000,G2&gt;=4)</f>
        <v>1</v>
      </c>
      <c r="Y2" s="10" t="str">
        <f>B2&amp;"-"&amp;C2</f>
        <v>Ava Rodriguez-Finance</v>
      </c>
      <c r="Z2" s="10" t="b">
        <f>AND(C2="IT",E2&gt;70000)</f>
        <v>0</v>
      </c>
      <c r="AA2" s="10" t="b">
        <f>OR(C2="finance",E2&lt;60000)</f>
        <v>1</v>
      </c>
      <c r="AB2" s="13">
        <f>(E2+(E2*5%))-80000</f>
        <v>17650</v>
      </c>
      <c r="AC2" s="10" t="str">
        <f>IF(J2=1,"Rs.2000","Rs.0")</f>
        <v>Rs.0</v>
      </c>
      <c r="AD2" s="10" t="str">
        <f>IF(AND(E2&gt;=75000,OR(I2=1,J2=1)),"eligible","not eligible")</f>
        <v>eligible</v>
      </c>
    </row>
    <row r="3" spans="1:30" ht="24.75" customHeight="1" x14ac:dyDescent="0.25">
      <c r="A3" s="7">
        <v>1002</v>
      </c>
      <c r="B3" s="7" t="s">
        <v>13</v>
      </c>
      <c r="C3" s="7" t="s">
        <v>14</v>
      </c>
      <c r="D3" s="7" t="s">
        <v>15</v>
      </c>
      <c r="E3" s="8">
        <v>67000</v>
      </c>
      <c r="F3" s="9">
        <v>43368</v>
      </c>
      <c r="G3" s="7">
        <v>3</v>
      </c>
      <c r="H3" s="7">
        <v>1</v>
      </c>
      <c r="I3" s="7">
        <v>0</v>
      </c>
      <c r="J3" s="7">
        <v>1</v>
      </c>
      <c r="K3" s="13">
        <f t="shared" ref="K3:K16" si="0">E3/12</f>
        <v>5583.333333333333</v>
      </c>
      <c r="L3" s="13">
        <f t="shared" ref="L3:L16" si="1">E3+(E3*10%)</f>
        <v>73700</v>
      </c>
      <c r="M3" s="13">
        <f t="shared" ref="M3:M16" si="2">E3*8%</f>
        <v>5360</v>
      </c>
      <c r="N3" s="13">
        <f t="shared" ref="N3:N16" si="3">E3-60000</f>
        <v>7000</v>
      </c>
      <c r="O3" s="10">
        <f t="shared" ref="O3:O16" si="4">G3*1500</f>
        <v>4500</v>
      </c>
      <c r="P3" s="10" t="b">
        <f>IF(Answer!E3&gt;80000,"True")</f>
        <v>0</v>
      </c>
      <c r="Q3" s="10" t="b">
        <f t="shared" ref="Q3:Q16" si="5">IF(E3=75000,"True")</f>
        <v>0</v>
      </c>
      <c r="R3" s="10" t="str">
        <f t="shared" ref="R3:R16" si="6">IF(E3&lt;&gt;75000,"True")</f>
        <v>True</v>
      </c>
      <c r="S3" s="10" t="b">
        <f t="shared" ref="S3:S16" si="7">IF(G3&gt;=4,"True")</f>
        <v>0</v>
      </c>
      <c r="T3" s="11" t="str">
        <f t="shared" ref="T3:T16" si="8">IF(H3&lt;3,"True")</f>
        <v>True</v>
      </c>
      <c r="U3" s="10" t="str">
        <f t="shared" ref="U3:U16" si="9">IF(AND(E3&gt;=75000,J3=1),"Eligible","Not Eligible")</f>
        <v>Not Eligible</v>
      </c>
      <c r="V3" s="10" t="str">
        <f t="shared" ref="V3:V16" si="10">IF(OR(C3="finance",C3="IT"),"eligible","not eligible")</f>
        <v>eligible</v>
      </c>
      <c r="W3" s="10" t="str">
        <f t="shared" ref="W3:W16" si="11">IF(NOT(I3=1),"Not eligible","Eligible")</f>
        <v>Not eligible</v>
      </c>
      <c r="X3" s="10" t="b">
        <f t="shared" ref="X3:X16" si="12">OR(E3&gt;=80000,G3&gt;=4)</f>
        <v>0</v>
      </c>
      <c r="Y3" s="10" t="str">
        <f t="shared" ref="Y3:Y16" si="13">B3&amp;"-"&amp;C3</f>
        <v>David Johnson-IT</v>
      </c>
      <c r="Z3" s="10" t="b">
        <f t="shared" ref="Z3:Z16" si="14">AND(C3="IT",E3&gt;70000)</f>
        <v>0</v>
      </c>
      <c r="AA3" s="10" t="b">
        <f t="shared" ref="AA3:AA16" si="15">OR(C3="finance",E3&lt;60000)</f>
        <v>0</v>
      </c>
      <c r="AB3" s="13">
        <f t="shared" ref="AB3:AB16" si="16">(E3+(E3*5%))-80000</f>
        <v>-9650</v>
      </c>
      <c r="AC3" s="10" t="str">
        <f t="shared" ref="AC3:AC16" si="17">IF(J3=1,"Rs.2000","Rs.0")</f>
        <v>Rs.2000</v>
      </c>
      <c r="AD3" s="10" t="str">
        <f t="shared" ref="AD3:AD16" si="18">IF(AND(E3&gt;=75000,OR(I3=1,J3=1)),"eligible","not eligible")</f>
        <v>not eligible</v>
      </c>
    </row>
    <row r="4" spans="1:30" ht="24.75" customHeight="1" x14ac:dyDescent="0.25">
      <c r="A4" s="7">
        <v>1003</v>
      </c>
      <c r="B4" s="7" t="s">
        <v>16</v>
      </c>
      <c r="C4" s="7" t="s">
        <v>11</v>
      </c>
      <c r="D4" s="7" t="s">
        <v>12</v>
      </c>
      <c r="E4" s="8">
        <v>85000</v>
      </c>
      <c r="F4" s="9">
        <v>44365</v>
      </c>
      <c r="G4" s="7">
        <v>4</v>
      </c>
      <c r="H4" s="7">
        <v>3</v>
      </c>
      <c r="I4" s="7">
        <v>1</v>
      </c>
      <c r="J4" s="7">
        <v>1</v>
      </c>
      <c r="K4" s="13">
        <f t="shared" si="0"/>
        <v>7083.333333333333</v>
      </c>
      <c r="L4" s="13">
        <f t="shared" si="1"/>
        <v>93500</v>
      </c>
      <c r="M4" s="13">
        <f t="shared" si="2"/>
        <v>6800</v>
      </c>
      <c r="N4" s="13">
        <f t="shared" si="3"/>
        <v>25000</v>
      </c>
      <c r="O4" s="10">
        <f t="shared" si="4"/>
        <v>6000</v>
      </c>
      <c r="P4" s="10" t="str">
        <f>IF(Answer!E4&gt;80000,"True")</f>
        <v>True</v>
      </c>
      <c r="Q4" s="10" t="b">
        <f t="shared" si="5"/>
        <v>0</v>
      </c>
      <c r="R4" s="10" t="str">
        <f t="shared" si="6"/>
        <v>True</v>
      </c>
      <c r="S4" s="10" t="str">
        <f t="shared" si="7"/>
        <v>True</v>
      </c>
      <c r="T4" s="11" t="b">
        <f t="shared" si="8"/>
        <v>0</v>
      </c>
      <c r="U4" s="10" t="str">
        <f t="shared" si="9"/>
        <v>Eligible</v>
      </c>
      <c r="V4" s="10" t="str">
        <f t="shared" si="10"/>
        <v>eligible</v>
      </c>
      <c r="W4" s="10" t="str">
        <f t="shared" si="11"/>
        <v>Eligible</v>
      </c>
      <c r="X4" s="10" t="b">
        <f t="shared" si="12"/>
        <v>1</v>
      </c>
      <c r="Y4" s="10" t="str">
        <f t="shared" si="13"/>
        <v>Chris Wilson-Finance</v>
      </c>
      <c r="Z4" s="10" t="b">
        <f t="shared" si="14"/>
        <v>0</v>
      </c>
      <c r="AA4" s="10" t="b">
        <f t="shared" si="15"/>
        <v>1</v>
      </c>
      <c r="AB4" s="13">
        <f t="shared" si="16"/>
        <v>9250</v>
      </c>
      <c r="AC4" s="10" t="str">
        <f t="shared" si="17"/>
        <v>Rs.2000</v>
      </c>
      <c r="AD4" s="10" t="str">
        <f t="shared" si="18"/>
        <v>eligible</v>
      </c>
    </row>
    <row r="5" spans="1:30" ht="24.75" customHeight="1" x14ac:dyDescent="0.25">
      <c r="A5" s="7">
        <v>1004</v>
      </c>
      <c r="B5" s="7" t="s">
        <v>17</v>
      </c>
      <c r="C5" s="7" t="s">
        <v>14</v>
      </c>
      <c r="D5" s="7" t="s">
        <v>15</v>
      </c>
      <c r="E5" s="8">
        <v>71000</v>
      </c>
      <c r="F5" s="9">
        <v>42771</v>
      </c>
      <c r="G5" s="7">
        <v>2</v>
      </c>
      <c r="H5" s="7">
        <v>2</v>
      </c>
      <c r="I5" s="7">
        <v>0</v>
      </c>
      <c r="J5" s="7">
        <v>1</v>
      </c>
      <c r="K5" s="13">
        <f t="shared" si="0"/>
        <v>5916.666666666667</v>
      </c>
      <c r="L5" s="13">
        <f t="shared" si="1"/>
        <v>78100</v>
      </c>
      <c r="M5" s="13">
        <f t="shared" si="2"/>
        <v>5680</v>
      </c>
      <c r="N5" s="13">
        <f t="shared" si="3"/>
        <v>11000</v>
      </c>
      <c r="O5" s="10">
        <f t="shared" si="4"/>
        <v>3000</v>
      </c>
      <c r="P5" s="10" t="b">
        <f>IF(Answer!E5&gt;80000,"True")</f>
        <v>0</v>
      </c>
      <c r="Q5" s="10" t="b">
        <f t="shared" si="5"/>
        <v>0</v>
      </c>
      <c r="R5" s="10" t="str">
        <f t="shared" si="6"/>
        <v>True</v>
      </c>
      <c r="S5" s="10" t="b">
        <f t="shared" si="7"/>
        <v>0</v>
      </c>
      <c r="T5" s="11" t="str">
        <f t="shared" si="8"/>
        <v>True</v>
      </c>
      <c r="U5" s="10" t="str">
        <f t="shared" si="9"/>
        <v>Not Eligible</v>
      </c>
      <c r="V5" s="10" t="str">
        <f t="shared" si="10"/>
        <v>eligible</v>
      </c>
      <c r="W5" s="10" t="str">
        <f t="shared" si="11"/>
        <v>Not eligible</v>
      </c>
      <c r="X5" s="10" t="b">
        <f t="shared" si="12"/>
        <v>0</v>
      </c>
      <c r="Y5" s="10" t="str">
        <f t="shared" si="13"/>
        <v>Emily Davis-IT</v>
      </c>
      <c r="Z5" s="10" t="b">
        <f t="shared" si="14"/>
        <v>1</v>
      </c>
      <c r="AA5" s="10" t="b">
        <f t="shared" si="15"/>
        <v>0</v>
      </c>
      <c r="AB5" s="13">
        <f t="shared" si="16"/>
        <v>-5450</v>
      </c>
      <c r="AC5" s="10" t="str">
        <f t="shared" si="17"/>
        <v>Rs.2000</v>
      </c>
      <c r="AD5" s="10" t="str">
        <f t="shared" si="18"/>
        <v>not eligible</v>
      </c>
    </row>
    <row r="6" spans="1:30" ht="24.75" customHeight="1" x14ac:dyDescent="0.25">
      <c r="A6" s="7">
        <v>1005</v>
      </c>
      <c r="B6" s="7" t="s">
        <v>18</v>
      </c>
      <c r="C6" s="7" t="s">
        <v>19</v>
      </c>
      <c r="D6" s="7" t="s">
        <v>20</v>
      </c>
      <c r="E6" s="8">
        <v>58000</v>
      </c>
      <c r="F6" s="9">
        <v>43781</v>
      </c>
      <c r="G6" s="7">
        <v>2</v>
      </c>
      <c r="H6" s="7">
        <v>1</v>
      </c>
      <c r="I6" s="7">
        <v>0</v>
      </c>
      <c r="J6" s="7">
        <v>0</v>
      </c>
      <c r="K6" s="13">
        <f t="shared" si="0"/>
        <v>4833.333333333333</v>
      </c>
      <c r="L6" s="13">
        <f t="shared" si="1"/>
        <v>63800</v>
      </c>
      <c r="M6" s="13">
        <f t="shared" si="2"/>
        <v>4640</v>
      </c>
      <c r="N6" s="13">
        <f t="shared" si="3"/>
        <v>-2000</v>
      </c>
      <c r="O6" s="10">
        <f t="shared" si="4"/>
        <v>3000</v>
      </c>
      <c r="P6" s="10" t="b">
        <f>IF(Answer!E6&gt;80000,"True")</f>
        <v>0</v>
      </c>
      <c r="Q6" s="10" t="b">
        <f t="shared" si="5"/>
        <v>0</v>
      </c>
      <c r="R6" s="10" t="str">
        <f t="shared" si="6"/>
        <v>True</v>
      </c>
      <c r="S6" s="10" t="b">
        <f t="shared" si="7"/>
        <v>0</v>
      </c>
      <c r="T6" s="11" t="str">
        <f t="shared" si="8"/>
        <v>True</v>
      </c>
      <c r="U6" s="10" t="str">
        <f t="shared" si="9"/>
        <v>Not Eligible</v>
      </c>
      <c r="V6" s="10" t="str">
        <f t="shared" si="10"/>
        <v>not eligible</v>
      </c>
      <c r="W6" s="10" t="str">
        <f t="shared" si="11"/>
        <v>Not eligible</v>
      </c>
      <c r="X6" s="10" t="b">
        <f t="shared" si="12"/>
        <v>0</v>
      </c>
      <c r="Y6" s="10" t="str">
        <f t="shared" si="13"/>
        <v>Sophia Brown-HR</v>
      </c>
      <c r="Z6" s="10" t="b">
        <f t="shared" si="14"/>
        <v>0</v>
      </c>
      <c r="AA6" s="10" t="b">
        <f t="shared" si="15"/>
        <v>1</v>
      </c>
      <c r="AB6" s="13">
        <f t="shared" si="16"/>
        <v>-19100</v>
      </c>
      <c r="AC6" s="10" t="str">
        <f t="shared" si="17"/>
        <v>Rs.0</v>
      </c>
      <c r="AD6" s="10" t="str">
        <f t="shared" si="18"/>
        <v>not eligible</v>
      </c>
    </row>
    <row r="7" spans="1:30" ht="24.75" customHeight="1" x14ac:dyDescent="0.25">
      <c r="A7" s="7">
        <v>1006</v>
      </c>
      <c r="B7" s="7" t="s">
        <v>21</v>
      </c>
      <c r="C7" s="7" t="s">
        <v>14</v>
      </c>
      <c r="D7" s="7" t="s">
        <v>15</v>
      </c>
      <c r="E7" s="8">
        <v>88000</v>
      </c>
      <c r="F7" s="9">
        <v>42571</v>
      </c>
      <c r="G7" s="7">
        <v>5</v>
      </c>
      <c r="H7" s="7">
        <v>4</v>
      </c>
      <c r="I7" s="7">
        <v>1</v>
      </c>
      <c r="J7" s="7">
        <v>1</v>
      </c>
      <c r="K7" s="13">
        <f t="shared" si="0"/>
        <v>7333.333333333333</v>
      </c>
      <c r="L7" s="13">
        <f t="shared" si="1"/>
        <v>96800</v>
      </c>
      <c r="M7" s="13">
        <f t="shared" si="2"/>
        <v>7040</v>
      </c>
      <c r="N7" s="13">
        <f t="shared" si="3"/>
        <v>28000</v>
      </c>
      <c r="O7" s="10">
        <f t="shared" si="4"/>
        <v>7500</v>
      </c>
      <c r="P7" s="10" t="str">
        <f>IF(Answer!E7&gt;80000,"True")</f>
        <v>True</v>
      </c>
      <c r="Q7" s="10" t="b">
        <f t="shared" si="5"/>
        <v>0</v>
      </c>
      <c r="R7" s="10" t="str">
        <f t="shared" si="6"/>
        <v>True</v>
      </c>
      <c r="S7" s="10" t="str">
        <f t="shared" si="7"/>
        <v>True</v>
      </c>
      <c r="T7" s="11" t="b">
        <f t="shared" si="8"/>
        <v>0</v>
      </c>
      <c r="U7" s="10" t="str">
        <f t="shared" si="9"/>
        <v>Eligible</v>
      </c>
      <c r="V7" s="10" t="str">
        <f t="shared" si="10"/>
        <v>eligible</v>
      </c>
      <c r="W7" s="10" t="str">
        <f t="shared" si="11"/>
        <v>Eligible</v>
      </c>
      <c r="X7" s="10" t="b">
        <f t="shared" si="12"/>
        <v>1</v>
      </c>
      <c r="Y7" s="10" t="str">
        <f t="shared" si="13"/>
        <v>Michael Smith-IT</v>
      </c>
      <c r="Z7" s="10" t="b">
        <f t="shared" si="14"/>
        <v>1</v>
      </c>
      <c r="AA7" s="10" t="b">
        <f t="shared" si="15"/>
        <v>0</v>
      </c>
      <c r="AB7" s="13">
        <f t="shared" si="16"/>
        <v>12400</v>
      </c>
      <c r="AC7" s="10" t="str">
        <f t="shared" si="17"/>
        <v>Rs.2000</v>
      </c>
      <c r="AD7" s="10" t="str">
        <f t="shared" si="18"/>
        <v>eligible</v>
      </c>
    </row>
    <row r="8" spans="1:30" ht="24.75" customHeight="1" x14ac:dyDescent="0.25">
      <c r="A8" s="7">
        <v>1007</v>
      </c>
      <c r="B8" s="7" t="s">
        <v>22</v>
      </c>
      <c r="C8" s="7" t="s">
        <v>19</v>
      </c>
      <c r="D8" s="7" t="s">
        <v>20</v>
      </c>
      <c r="E8" s="8">
        <v>62000</v>
      </c>
      <c r="F8" s="9">
        <v>44635</v>
      </c>
      <c r="G8" s="7">
        <v>3</v>
      </c>
      <c r="H8" s="7">
        <v>2</v>
      </c>
      <c r="I8" s="7">
        <v>0</v>
      </c>
      <c r="J8" s="7">
        <v>1</v>
      </c>
      <c r="K8" s="13">
        <f t="shared" si="0"/>
        <v>5166.666666666667</v>
      </c>
      <c r="L8" s="13">
        <f t="shared" si="1"/>
        <v>68200</v>
      </c>
      <c r="M8" s="13">
        <f t="shared" si="2"/>
        <v>4960</v>
      </c>
      <c r="N8" s="13">
        <f t="shared" si="3"/>
        <v>2000</v>
      </c>
      <c r="O8" s="10">
        <f t="shared" si="4"/>
        <v>4500</v>
      </c>
      <c r="P8" s="10" t="b">
        <f>IF(Answer!E8&gt;80000,"True")</f>
        <v>0</v>
      </c>
      <c r="Q8" s="10" t="b">
        <f t="shared" si="5"/>
        <v>0</v>
      </c>
      <c r="R8" s="10" t="str">
        <f t="shared" si="6"/>
        <v>True</v>
      </c>
      <c r="S8" s="10" t="b">
        <f t="shared" si="7"/>
        <v>0</v>
      </c>
      <c r="T8" s="11" t="str">
        <f t="shared" si="8"/>
        <v>True</v>
      </c>
      <c r="U8" s="10" t="str">
        <f t="shared" si="9"/>
        <v>Not Eligible</v>
      </c>
      <c r="V8" s="10" t="str">
        <f t="shared" si="10"/>
        <v>not eligible</v>
      </c>
      <c r="W8" s="10" t="str">
        <f t="shared" si="11"/>
        <v>Not eligible</v>
      </c>
      <c r="X8" s="10" t="b">
        <f t="shared" si="12"/>
        <v>0</v>
      </c>
      <c r="Y8" s="10" t="str">
        <f t="shared" si="13"/>
        <v>Olivia Taylor-HR</v>
      </c>
      <c r="Z8" s="10" t="b">
        <f t="shared" si="14"/>
        <v>0</v>
      </c>
      <c r="AA8" s="10" t="b">
        <f t="shared" si="15"/>
        <v>0</v>
      </c>
      <c r="AB8" s="13">
        <f t="shared" si="16"/>
        <v>-14900</v>
      </c>
      <c r="AC8" s="10" t="str">
        <f t="shared" si="17"/>
        <v>Rs.2000</v>
      </c>
      <c r="AD8" s="10" t="str">
        <f t="shared" si="18"/>
        <v>not eligible</v>
      </c>
    </row>
    <row r="9" spans="1:30" ht="24.75" customHeight="1" x14ac:dyDescent="0.25">
      <c r="A9" s="7">
        <v>1008</v>
      </c>
      <c r="B9" s="7" t="s">
        <v>23</v>
      </c>
      <c r="C9" s="7" t="s">
        <v>24</v>
      </c>
      <c r="D9" s="7" t="s">
        <v>25</v>
      </c>
      <c r="E9" s="8">
        <v>75000</v>
      </c>
      <c r="F9" s="9">
        <v>43840</v>
      </c>
      <c r="G9" s="7">
        <v>4</v>
      </c>
      <c r="H9" s="7">
        <v>3</v>
      </c>
      <c r="I9" s="7">
        <v>1</v>
      </c>
      <c r="J9" s="7">
        <v>0</v>
      </c>
      <c r="K9" s="13">
        <f t="shared" si="0"/>
        <v>6250</v>
      </c>
      <c r="L9" s="13">
        <f t="shared" si="1"/>
        <v>82500</v>
      </c>
      <c r="M9" s="13">
        <f t="shared" si="2"/>
        <v>6000</v>
      </c>
      <c r="N9" s="13">
        <f t="shared" si="3"/>
        <v>15000</v>
      </c>
      <c r="O9" s="10">
        <f t="shared" si="4"/>
        <v>6000</v>
      </c>
      <c r="P9" s="10" t="b">
        <f>IF(Answer!E9&gt;80000,"True")</f>
        <v>0</v>
      </c>
      <c r="Q9" s="10" t="str">
        <f t="shared" si="5"/>
        <v>True</v>
      </c>
      <c r="R9" s="10" t="b">
        <f t="shared" si="6"/>
        <v>0</v>
      </c>
      <c r="S9" s="10" t="str">
        <f t="shared" si="7"/>
        <v>True</v>
      </c>
      <c r="T9" s="11" t="b">
        <f t="shared" si="8"/>
        <v>0</v>
      </c>
      <c r="U9" s="10" t="str">
        <f t="shared" si="9"/>
        <v>Not Eligible</v>
      </c>
      <c r="V9" s="10" t="str">
        <f t="shared" si="10"/>
        <v>not eligible</v>
      </c>
      <c r="W9" s="10" t="str">
        <f t="shared" si="11"/>
        <v>Eligible</v>
      </c>
      <c r="X9" s="10" t="b">
        <f t="shared" si="12"/>
        <v>1</v>
      </c>
      <c r="Y9" s="10" t="str">
        <f t="shared" si="13"/>
        <v>James Anderson-Marketing</v>
      </c>
      <c r="Z9" s="10" t="b">
        <f t="shared" si="14"/>
        <v>0</v>
      </c>
      <c r="AA9" s="10" t="b">
        <f t="shared" si="15"/>
        <v>0</v>
      </c>
      <c r="AB9" s="13">
        <f t="shared" si="16"/>
        <v>-1250</v>
      </c>
      <c r="AC9" s="10" t="str">
        <f t="shared" si="17"/>
        <v>Rs.0</v>
      </c>
      <c r="AD9" s="10" t="str">
        <f t="shared" si="18"/>
        <v>eligible</v>
      </c>
    </row>
    <row r="10" spans="1:30" ht="24.75" customHeight="1" x14ac:dyDescent="0.25">
      <c r="A10" s="7">
        <v>1009</v>
      </c>
      <c r="B10" s="7" t="s">
        <v>26</v>
      </c>
      <c r="C10" s="7" t="s">
        <v>11</v>
      </c>
      <c r="D10" s="7" t="s">
        <v>12</v>
      </c>
      <c r="E10" s="8">
        <v>79000</v>
      </c>
      <c r="F10" s="9">
        <v>43699</v>
      </c>
      <c r="G10" s="7">
        <v>3</v>
      </c>
      <c r="H10" s="7">
        <v>2</v>
      </c>
      <c r="I10" s="7">
        <v>0</v>
      </c>
      <c r="J10" s="7">
        <v>1</v>
      </c>
      <c r="K10" s="13">
        <f t="shared" si="0"/>
        <v>6583.333333333333</v>
      </c>
      <c r="L10" s="13">
        <f t="shared" si="1"/>
        <v>86900</v>
      </c>
      <c r="M10" s="13">
        <f t="shared" si="2"/>
        <v>6320</v>
      </c>
      <c r="N10" s="13">
        <f t="shared" si="3"/>
        <v>19000</v>
      </c>
      <c r="O10" s="10">
        <f t="shared" si="4"/>
        <v>4500</v>
      </c>
      <c r="P10" s="10" t="b">
        <f>IF(Answer!E10&gt;80000,"True")</f>
        <v>0</v>
      </c>
      <c r="Q10" s="10" t="b">
        <f t="shared" si="5"/>
        <v>0</v>
      </c>
      <c r="R10" s="10" t="str">
        <f t="shared" si="6"/>
        <v>True</v>
      </c>
      <c r="S10" s="10" t="b">
        <f t="shared" si="7"/>
        <v>0</v>
      </c>
      <c r="T10" s="11" t="str">
        <f t="shared" si="8"/>
        <v>True</v>
      </c>
      <c r="U10" s="10" t="str">
        <f t="shared" si="9"/>
        <v>Eligible</v>
      </c>
      <c r="V10" s="10" t="str">
        <f t="shared" si="10"/>
        <v>eligible</v>
      </c>
      <c r="W10" s="10" t="str">
        <f t="shared" si="11"/>
        <v>Not eligible</v>
      </c>
      <c r="X10" s="10" t="b">
        <f t="shared" si="12"/>
        <v>0</v>
      </c>
      <c r="Y10" s="10" t="str">
        <f t="shared" si="13"/>
        <v>Emma Thomas-Finance</v>
      </c>
      <c r="Z10" s="10" t="b">
        <f t="shared" si="14"/>
        <v>0</v>
      </c>
      <c r="AA10" s="10" t="b">
        <f t="shared" si="15"/>
        <v>1</v>
      </c>
      <c r="AB10" s="13">
        <f t="shared" si="16"/>
        <v>2950</v>
      </c>
      <c r="AC10" s="10" t="str">
        <f t="shared" si="17"/>
        <v>Rs.2000</v>
      </c>
      <c r="AD10" s="10" t="str">
        <f t="shared" si="18"/>
        <v>eligible</v>
      </c>
    </row>
    <row r="11" spans="1:30" ht="24.75" customHeight="1" x14ac:dyDescent="0.25">
      <c r="A11" s="7">
        <v>1010</v>
      </c>
      <c r="B11" s="7" t="s">
        <v>27</v>
      </c>
      <c r="C11" s="7" t="s">
        <v>24</v>
      </c>
      <c r="D11" s="7" t="s">
        <v>25</v>
      </c>
      <c r="E11" s="8">
        <v>69000</v>
      </c>
      <c r="F11" s="9">
        <v>43437</v>
      </c>
      <c r="G11" s="7">
        <v>2</v>
      </c>
      <c r="H11" s="7">
        <v>1</v>
      </c>
      <c r="I11" s="7">
        <v>0</v>
      </c>
      <c r="J11" s="7">
        <v>0</v>
      </c>
      <c r="K11" s="13">
        <f t="shared" si="0"/>
        <v>5750</v>
      </c>
      <c r="L11" s="13">
        <f t="shared" si="1"/>
        <v>75900</v>
      </c>
      <c r="M11" s="13">
        <f t="shared" si="2"/>
        <v>5520</v>
      </c>
      <c r="N11" s="13">
        <f t="shared" si="3"/>
        <v>9000</v>
      </c>
      <c r="O11" s="10">
        <f t="shared" si="4"/>
        <v>3000</v>
      </c>
      <c r="P11" s="10" t="b">
        <f>IF(Answer!E11&gt;80000,"True")</f>
        <v>0</v>
      </c>
      <c r="Q11" s="10" t="b">
        <f t="shared" si="5"/>
        <v>0</v>
      </c>
      <c r="R11" s="10" t="str">
        <f t="shared" si="6"/>
        <v>True</v>
      </c>
      <c r="S11" s="10" t="b">
        <f t="shared" si="7"/>
        <v>0</v>
      </c>
      <c r="T11" s="11" t="str">
        <f t="shared" si="8"/>
        <v>True</v>
      </c>
      <c r="U11" s="10" t="str">
        <f t="shared" si="9"/>
        <v>Not Eligible</v>
      </c>
      <c r="V11" s="10" t="str">
        <f t="shared" si="10"/>
        <v>not eligible</v>
      </c>
      <c r="W11" s="10" t="str">
        <f t="shared" si="11"/>
        <v>Not eligible</v>
      </c>
      <c r="X11" s="10" t="b">
        <f t="shared" si="12"/>
        <v>0</v>
      </c>
      <c r="Y11" s="10" t="str">
        <f t="shared" si="13"/>
        <v>Daniel White-Marketing</v>
      </c>
      <c r="Z11" s="10" t="b">
        <f t="shared" si="14"/>
        <v>0</v>
      </c>
      <c r="AA11" s="10" t="b">
        <f t="shared" si="15"/>
        <v>0</v>
      </c>
      <c r="AB11" s="13">
        <f t="shared" si="16"/>
        <v>-7550</v>
      </c>
      <c r="AC11" s="10" t="str">
        <f t="shared" si="17"/>
        <v>Rs.0</v>
      </c>
      <c r="AD11" s="10" t="str">
        <f t="shared" si="18"/>
        <v>not eligible</v>
      </c>
    </row>
    <row r="12" spans="1:30" ht="24.75" customHeight="1" x14ac:dyDescent="0.25">
      <c r="A12" s="7">
        <v>1011</v>
      </c>
      <c r="B12" s="7" t="s">
        <v>28</v>
      </c>
      <c r="C12" s="7" t="s">
        <v>14</v>
      </c>
      <c r="D12" s="7" t="s">
        <v>15</v>
      </c>
      <c r="E12" s="8">
        <v>95000</v>
      </c>
      <c r="F12" s="9">
        <v>41746</v>
      </c>
      <c r="G12" s="7">
        <v>5</v>
      </c>
      <c r="H12" s="7">
        <v>5</v>
      </c>
      <c r="I12" s="7">
        <v>1</v>
      </c>
      <c r="J12" s="7">
        <v>1</v>
      </c>
      <c r="K12" s="13">
        <f t="shared" si="0"/>
        <v>7916.666666666667</v>
      </c>
      <c r="L12" s="13">
        <f t="shared" si="1"/>
        <v>104500</v>
      </c>
      <c r="M12" s="13">
        <f t="shared" si="2"/>
        <v>7600</v>
      </c>
      <c r="N12" s="13">
        <f t="shared" si="3"/>
        <v>35000</v>
      </c>
      <c r="O12" s="10">
        <f t="shared" si="4"/>
        <v>7500</v>
      </c>
      <c r="P12" s="10" t="str">
        <f>IF(Answer!E12&gt;80000,"True")</f>
        <v>True</v>
      </c>
      <c r="Q12" s="10" t="b">
        <f t="shared" si="5"/>
        <v>0</v>
      </c>
      <c r="R12" s="10" t="str">
        <f t="shared" si="6"/>
        <v>True</v>
      </c>
      <c r="S12" s="10" t="str">
        <f t="shared" si="7"/>
        <v>True</v>
      </c>
      <c r="T12" s="11" t="b">
        <f t="shared" si="8"/>
        <v>0</v>
      </c>
      <c r="U12" s="10" t="str">
        <f t="shared" si="9"/>
        <v>Eligible</v>
      </c>
      <c r="V12" s="10" t="str">
        <f t="shared" si="10"/>
        <v>eligible</v>
      </c>
      <c r="W12" s="10" t="str">
        <f t="shared" si="11"/>
        <v>Eligible</v>
      </c>
      <c r="X12" s="10" t="b">
        <f t="shared" si="12"/>
        <v>1</v>
      </c>
      <c r="Y12" s="10" t="str">
        <f t="shared" si="13"/>
        <v>Mia Martin-IT</v>
      </c>
      <c r="Z12" s="10" t="b">
        <f t="shared" si="14"/>
        <v>1</v>
      </c>
      <c r="AA12" s="10" t="b">
        <f t="shared" si="15"/>
        <v>0</v>
      </c>
      <c r="AB12" s="13">
        <f t="shared" si="16"/>
        <v>19750</v>
      </c>
      <c r="AC12" s="10" t="str">
        <f t="shared" si="17"/>
        <v>Rs.2000</v>
      </c>
      <c r="AD12" s="10" t="str">
        <f t="shared" si="18"/>
        <v>eligible</v>
      </c>
    </row>
    <row r="13" spans="1:30" ht="24.75" customHeight="1" x14ac:dyDescent="0.25">
      <c r="A13" s="7">
        <v>1012</v>
      </c>
      <c r="B13" s="7" t="s">
        <v>29</v>
      </c>
      <c r="C13" s="7" t="s">
        <v>19</v>
      </c>
      <c r="D13" s="7" t="s">
        <v>20</v>
      </c>
      <c r="E13" s="8">
        <v>54000</v>
      </c>
      <c r="F13" s="9">
        <v>45078</v>
      </c>
      <c r="G13" s="7">
        <v>1</v>
      </c>
      <c r="H13" s="7">
        <v>1</v>
      </c>
      <c r="I13" s="7">
        <v>0</v>
      </c>
      <c r="J13" s="7">
        <v>0</v>
      </c>
      <c r="K13" s="13">
        <f t="shared" si="0"/>
        <v>4500</v>
      </c>
      <c r="L13" s="13">
        <f t="shared" si="1"/>
        <v>59400</v>
      </c>
      <c r="M13" s="13">
        <f t="shared" si="2"/>
        <v>4320</v>
      </c>
      <c r="N13" s="13">
        <f t="shared" si="3"/>
        <v>-6000</v>
      </c>
      <c r="O13" s="10">
        <f t="shared" si="4"/>
        <v>1500</v>
      </c>
      <c r="P13" s="10" t="b">
        <f>IF(Answer!E13&gt;80000,"True")</f>
        <v>0</v>
      </c>
      <c r="Q13" s="10" t="b">
        <f t="shared" si="5"/>
        <v>0</v>
      </c>
      <c r="R13" s="10" t="str">
        <f t="shared" si="6"/>
        <v>True</v>
      </c>
      <c r="S13" s="10" t="b">
        <f t="shared" si="7"/>
        <v>0</v>
      </c>
      <c r="T13" s="11" t="str">
        <f t="shared" si="8"/>
        <v>True</v>
      </c>
      <c r="U13" s="10" t="str">
        <f t="shared" si="9"/>
        <v>Not Eligible</v>
      </c>
      <c r="V13" s="10" t="str">
        <f t="shared" si="10"/>
        <v>not eligible</v>
      </c>
      <c r="W13" s="10" t="str">
        <f t="shared" si="11"/>
        <v>Not eligible</v>
      </c>
      <c r="X13" s="10" t="b">
        <f t="shared" si="12"/>
        <v>0</v>
      </c>
      <c r="Y13" s="10" t="str">
        <f t="shared" si="13"/>
        <v>Noah Clark-HR</v>
      </c>
      <c r="Z13" s="10" t="b">
        <f t="shared" si="14"/>
        <v>0</v>
      </c>
      <c r="AA13" s="10" t="b">
        <f t="shared" si="15"/>
        <v>1</v>
      </c>
      <c r="AB13" s="13">
        <f t="shared" si="16"/>
        <v>-23300</v>
      </c>
      <c r="AC13" s="10" t="str">
        <f t="shared" si="17"/>
        <v>Rs.0</v>
      </c>
      <c r="AD13" s="10" t="str">
        <f t="shared" si="18"/>
        <v>not eligible</v>
      </c>
    </row>
    <row r="14" spans="1:30" ht="24.75" customHeight="1" x14ac:dyDescent="0.25">
      <c r="A14" s="7">
        <v>1013</v>
      </c>
      <c r="B14" s="7" t="s">
        <v>30</v>
      </c>
      <c r="C14" s="7" t="s">
        <v>31</v>
      </c>
      <c r="D14" s="7" t="s">
        <v>32</v>
      </c>
      <c r="E14" s="8">
        <v>72000</v>
      </c>
      <c r="F14" s="9">
        <v>44088</v>
      </c>
      <c r="G14" s="7">
        <v>4</v>
      </c>
      <c r="H14" s="7">
        <v>2</v>
      </c>
      <c r="I14" s="7">
        <v>1</v>
      </c>
      <c r="J14" s="7">
        <v>1</v>
      </c>
      <c r="K14" s="13">
        <f t="shared" si="0"/>
        <v>6000</v>
      </c>
      <c r="L14" s="13">
        <f t="shared" si="1"/>
        <v>79200</v>
      </c>
      <c r="M14" s="13">
        <f t="shared" si="2"/>
        <v>5760</v>
      </c>
      <c r="N14" s="13">
        <f t="shared" si="3"/>
        <v>12000</v>
      </c>
      <c r="O14" s="10">
        <f t="shared" si="4"/>
        <v>6000</v>
      </c>
      <c r="P14" s="10" t="b">
        <f>IF(Answer!E14&gt;80000,"True")</f>
        <v>0</v>
      </c>
      <c r="Q14" s="10" t="b">
        <f t="shared" si="5"/>
        <v>0</v>
      </c>
      <c r="R14" s="10" t="str">
        <f t="shared" si="6"/>
        <v>True</v>
      </c>
      <c r="S14" s="10" t="str">
        <f t="shared" si="7"/>
        <v>True</v>
      </c>
      <c r="T14" s="11" t="str">
        <f t="shared" si="8"/>
        <v>True</v>
      </c>
      <c r="U14" s="10" t="str">
        <f t="shared" si="9"/>
        <v>Not Eligible</v>
      </c>
      <c r="V14" s="10" t="str">
        <f t="shared" si="10"/>
        <v>not eligible</v>
      </c>
      <c r="W14" s="10" t="str">
        <f t="shared" si="11"/>
        <v>Eligible</v>
      </c>
      <c r="X14" s="10" t="b">
        <f t="shared" si="12"/>
        <v>1</v>
      </c>
      <c r="Y14" s="10" t="str">
        <f t="shared" si="13"/>
        <v>Isabella Lewis-Sales</v>
      </c>
      <c r="Z14" s="10" t="b">
        <f t="shared" si="14"/>
        <v>0</v>
      </c>
      <c r="AA14" s="10" t="b">
        <f t="shared" si="15"/>
        <v>0</v>
      </c>
      <c r="AB14" s="13">
        <f t="shared" si="16"/>
        <v>-4400</v>
      </c>
      <c r="AC14" s="10" t="str">
        <f t="shared" si="17"/>
        <v>Rs.2000</v>
      </c>
      <c r="AD14" s="10" t="str">
        <f t="shared" si="18"/>
        <v>not eligible</v>
      </c>
    </row>
    <row r="15" spans="1:30" ht="24.75" customHeight="1" x14ac:dyDescent="0.25">
      <c r="A15" s="7">
        <v>1014</v>
      </c>
      <c r="B15" s="7" t="s">
        <v>33</v>
      </c>
      <c r="C15" s="7" t="s">
        <v>31</v>
      </c>
      <c r="D15" s="7" t="s">
        <v>32</v>
      </c>
      <c r="E15" s="8">
        <v>81000</v>
      </c>
      <c r="F15" s="9">
        <v>43038</v>
      </c>
      <c r="G15" s="7">
        <v>3</v>
      </c>
      <c r="H15" s="7">
        <v>3</v>
      </c>
      <c r="I15" s="7">
        <v>0</v>
      </c>
      <c r="J15" s="7">
        <v>1</v>
      </c>
      <c r="K15" s="13">
        <f t="shared" si="0"/>
        <v>6750</v>
      </c>
      <c r="L15" s="13">
        <f t="shared" si="1"/>
        <v>89100</v>
      </c>
      <c r="M15" s="13">
        <f t="shared" si="2"/>
        <v>6480</v>
      </c>
      <c r="N15" s="13">
        <f t="shared" si="3"/>
        <v>21000</v>
      </c>
      <c r="O15" s="10">
        <f t="shared" si="4"/>
        <v>4500</v>
      </c>
      <c r="P15" s="10" t="str">
        <f>IF(Answer!E15&gt;80000,"True")</f>
        <v>True</v>
      </c>
      <c r="Q15" s="10" t="b">
        <f t="shared" si="5"/>
        <v>0</v>
      </c>
      <c r="R15" s="10" t="str">
        <f t="shared" si="6"/>
        <v>True</v>
      </c>
      <c r="S15" s="10" t="b">
        <f t="shared" si="7"/>
        <v>0</v>
      </c>
      <c r="T15" s="11" t="b">
        <f t="shared" si="8"/>
        <v>0</v>
      </c>
      <c r="U15" s="10" t="str">
        <f t="shared" si="9"/>
        <v>Eligible</v>
      </c>
      <c r="V15" s="10" t="str">
        <f t="shared" si="10"/>
        <v>not eligible</v>
      </c>
      <c r="W15" s="10" t="str">
        <f t="shared" si="11"/>
        <v>Not eligible</v>
      </c>
      <c r="X15" s="10" t="b">
        <f t="shared" si="12"/>
        <v>1</v>
      </c>
      <c r="Y15" s="10" t="str">
        <f t="shared" si="13"/>
        <v>Ethan Walker-Sales</v>
      </c>
      <c r="Z15" s="10" t="b">
        <f t="shared" si="14"/>
        <v>0</v>
      </c>
      <c r="AA15" s="10" t="b">
        <f t="shared" si="15"/>
        <v>0</v>
      </c>
      <c r="AB15" s="13">
        <f t="shared" si="16"/>
        <v>5050</v>
      </c>
      <c r="AC15" s="10" t="str">
        <f t="shared" si="17"/>
        <v>Rs.2000</v>
      </c>
      <c r="AD15" s="10" t="str">
        <f t="shared" si="18"/>
        <v>eligible</v>
      </c>
    </row>
    <row r="16" spans="1:30" ht="24.75" customHeight="1" x14ac:dyDescent="0.25">
      <c r="A16" s="7">
        <v>1015</v>
      </c>
      <c r="B16" s="7" t="s">
        <v>34</v>
      </c>
      <c r="C16" s="7" t="s">
        <v>11</v>
      </c>
      <c r="D16" s="7" t="s">
        <v>12</v>
      </c>
      <c r="E16" s="8">
        <v>66000</v>
      </c>
      <c r="F16" s="9">
        <v>44585</v>
      </c>
      <c r="G16" s="7">
        <v>2</v>
      </c>
      <c r="H16" s="7">
        <v>2</v>
      </c>
      <c r="I16" s="7">
        <v>1</v>
      </c>
      <c r="J16" s="7">
        <v>0</v>
      </c>
      <c r="K16" s="13">
        <f t="shared" si="0"/>
        <v>5500</v>
      </c>
      <c r="L16" s="13">
        <f t="shared" si="1"/>
        <v>72600</v>
      </c>
      <c r="M16" s="13">
        <f t="shared" si="2"/>
        <v>5280</v>
      </c>
      <c r="N16" s="13">
        <f t="shared" si="3"/>
        <v>6000</v>
      </c>
      <c r="O16" s="10">
        <f t="shared" si="4"/>
        <v>3000</v>
      </c>
      <c r="P16" s="10" t="b">
        <f>IF(Answer!E16&gt;80000,"True")</f>
        <v>0</v>
      </c>
      <c r="Q16" s="10" t="b">
        <f t="shared" si="5"/>
        <v>0</v>
      </c>
      <c r="R16" s="10" t="str">
        <f t="shared" si="6"/>
        <v>True</v>
      </c>
      <c r="S16" s="10" t="b">
        <f t="shared" si="7"/>
        <v>0</v>
      </c>
      <c r="T16" s="11" t="str">
        <f t="shared" si="8"/>
        <v>True</v>
      </c>
      <c r="U16" s="10" t="str">
        <f t="shared" si="9"/>
        <v>Not Eligible</v>
      </c>
      <c r="V16" s="10" t="str">
        <f t="shared" si="10"/>
        <v>eligible</v>
      </c>
      <c r="W16" s="10" t="str">
        <f t="shared" si="11"/>
        <v>Eligible</v>
      </c>
      <c r="X16" s="10" t="b">
        <f t="shared" si="12"/>
        <v>0</v>
      </c>
      <c r="Y16" s="10" t="str">
        <f t="shared" si="13"/>
        <v>Amelia Hall-Finance</v>
      </c>
      <c r="Z16" s="10" t="b">
        <f t="shared" si="14"/>
        <v>0</v>
      </c>
      <c r="AA16" s="10" t="b">
        <f t="shared" si="15"/>
        <v>1</v>
      </c>
      <c r="AB16" s="13">
        <f t="shared" si="16"/>
        <v>-10700</v>
      </c>
      <c r="AC16" s="10" t="str">
        <f t="shared" si="17"/>
        <v>Rs.0</v>
      </c>
      <c r="AD16" s="10" t="str">
        <f t="shared" si="18"/>
        <v>not eligible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Homework</vt:lpstr>
      <vt:lpstr>Instructions</vt:lpstr>
      <vt:lpstr>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2026-10-09T17:08:42Z</dcterms:created>
  <dcterms:modified xsi:type="dcterms:W3CDTF">2026-10-14T13:18:58Z</dcterms:modified>
</cp:coreProperties>
</file>